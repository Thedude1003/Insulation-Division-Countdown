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amp\Downloads\"/>
    </mc:Choice>
  </mc:AlternateContent>
  <xr:revisionPtr revIDLastSave="0" documentId="13_ncr:1_{7B1AF13A-6FC7-47DC-824D-500C163931CD}" xr6:coauthVersionLast="47" xr6:coauthVersionMax="47" xr10:uidLastSave="{00000000-0000-0000-0000-000000000000}"/>
  <bookViews>
    <workbookView xWindow="1170" yWindow="1170" windowWidth="27000" windowHeight="14235" xr2:uid="{F07F5601-5943-4991-9793-E859AC325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1" l="1"/>
  <c r="I13" i="1" s="1"/>
  <c r="J13" i="1" s="1"/>
  <c r="F13" i="1"/>
  <c r="F10" i="1"/>
  <c r="F7" i="1"/>
  <c r="G7" i="1" s="1"/>
  <c r="F4" i="1"/>
  <c r="E4" i="1"/>
  <c r="E7" i="1"/>
  <c r="D3" i="1"/>
  <c r="D4" i="1"/>
  <c r="D5" i="1"/>
  <c r="D6" i="1"/>
  <c r="D7" i="1"/>
  <c r="D8" i="1"/>
  <c r="D9" i="1"/>
  <c r="D10" i="1"/>
  <c r="D11" i="1"/>
  <c r="D12" i="1"/>
  <c r="D13" i="1"/>
  <c r="E13" i="1" s="1"/>
  <c r="G13" i="1" s="1"/>
  <c r="D2" i="1"/>
  <c r="E10" i="1" l="1"/>
  <c r="G10" i="1" s="1"/>
  <c r="G4" i="1"/>
</calcChain>
</file>

<file path=xl/sharedStrings.xml><?xml version="1.0" encoding="utf-8"?>
<sst xmlns="http://schemas.openxmlformats.org/spreadsheetml/2006/main" count="22" uniqueCount="20">
  <si>
    <t>Monthly Goal</t>
  </si>
  <si>
    <t>Monthly Total</t>
  </si>
  <si>
    <t>Difference</t>
  </si>
  <si>
    <t>Month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</si>
  <si>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</si>
  <si>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</si>
  <si>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</si>
  <si>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</si>
  <si>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</si>
  <si>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</si>
  <si>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</si>
  <si>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</si>
  <si>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</si>
  <si>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</si>
  <si>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</si>
  <si>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</si>
  <si>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Quarter Goal</t>
  </si>
  <si>
    <t>Quarter Total</t>
  </si>
  <si>
    <t>Fiscal Year Goal</t>
  </si>
  <si>
    <t xml:space="preserve">Fiscal Year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</si>
</sst>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5B60-7107-4967-9DF0-6BE156DF35F1}">
  <dimension ref="A1:J16"/>
  <sheetViews>
    <sheetView tabSelected="1" workbookViewId="0">
      <selection activeCell="C10" sqref="C10"/>
    </sheetView>
  </sheetViews>
  <sheetFormatPr defaultRowHeight="15" x14ac:dyDescent="0.25"/>
  <cols>
    <col min="1" max="1" width="10.28515625" bestFit="1" customWidth="1"/>
    <col min="2" max="2" width="14.140625" style="1" bestFit="1" customWidth="1"/>
    <col min="3" max="3" width="14.42578125" style="1" bestFit="1" customWidth="1"/>
    <col min="4" max="4" width="12.5703125" style="1" bestFit="1" customWidth="1"/>
    <col min="5" max="5" width="14.28515625" style="1" bestFit="1" customWidth="1"/>
    <col min="6" max="6" width="14.140625" style="1" bestFit="1" customWidth="1"/>
    <col min="7" max="7" width="14.28515625" style="1" bestFit="1" customWidth="1"/>
    <col min="8" max="8" width="15.28515625" bestFit="1" customWidth="1"/>
    <col min="9" max="9" width="16" bestFit="1" customWidth="1"/>
    <col min="10" max="10" width="14.28515625" bestFit="1" customWidth="1"/>
  </cols>
  <sheetData>
    <row r="1" spans="1:10" x14ac:dyDescent="0.25">
      <c r="A1" t="s">
        <v>3</v>
      </c>
      <c r="B1" s="1" t="s">
        <v>0</v>
      </c>
      <c r="C1" s="1" t="s">
        <v>1</v>
      </c>
      <c r="D1" s="1" t="s">
        <v>2</v>
      </c>
      <c r="E1" s="1" t="s">
        <v>16</v>
      </c>
      <c r="F1" s="1" t="s">
        <v>17</v>
      </c>
      <c r="G1" s="1" t="s">
        <v>2</v>
      </c>
      <c r="H1" t="s">
        <v>18</v>
      </c>
      <c r="I1" t="s">
        <v>19</v>
      </c>
      <c r="J1" t="s">
        <v>2</v>
      </c>
    </row>
    <row r="2" spans="1:10" x14ac:dyDescent="0.25">
      <c r="A2" t="s">
        <v>4</v>
      </c>
      <c r="B2" s="1">
        <v>300000</v>
      </c>
      <c r="C2" s="1">
        <v>207097</v>
      </c>
      <c r="D2" s="1">
        <f>B2-C2</f>
        <v>92903</v>
      </c>
      <c r="H2" s="1">
        <v>3500000</v>
      </c>
    </row>
    <row r="3" spans="1:10" x14ac:dyDescent="0.25">
      <c r="A3" t="s">
        <v>5</v>
      </c>
      <c r="B3" s="1">
        <v>250000</v>
      </c>
      <c r="C3" s="1">
        <v>115310</v>
      </c>
      <c r="D3" s="1">
        <f t="shared" ref="D3:D13" si="0">B3-C3</f>
        <v>134690</v>
      </c>
      <c r="H3" s="1">
        <v>3500000</v>
      </c>
    </row>
    <row r="4" spans="1:10" x14ac:dyDescent="0.25">
      <c r="A4" t="s">
        <v>6</v>
      </c>
      <c r="B4" s="1">
        <v>150000</v>
      </c>
      <c r="C4" s="1">
        <v>79542</v>
      </c>
      <c r="D4" s="1">
        <f t="shared" si="0"/>
        <v>70458</v>
      </c>
      <c r="E4" s="1">
        <f>SUM(B2:B4)</f>
        <v>700000</v>
      </c>
      <c r="F4" s="1">
        <f>SUM(C2:C4)</f>
        <v>401949</v>
      </c>
      <c r="G4" s="1">
        <f>E4-F4</f>
        <v>298051</v>
      </c>
      <c r="H4" s="1">
        <v>3500000</v>
      </c>
    </row>
    <row r="5" spans="1:10" x14ac:dyDescent="0.25">
      <c r="A5" t="s">
        <v>7</v>
      </c>
      <c r="B5" s="1">
        <v>150000</v>
      </c>
      <c r="C5" s="1">
        <v>108767</v>
      </c>
      <c r="D5" s="1">
        <f t="shared" si="0"/>
        <v>41233</v>
      </c>
      <c r="H5" s="1">
        <v>3500000</v>
      </c>
    </row>
    <row r="6" spans="1:10" x14ac:dyDescent="0.25">
      <c r="A6" t="s">
        <v>8</v>
      </c>
      <c r="B6" s="1">
        <v>150000</v>
      </c>
      <c r="C6" s="1">
        <v>192623</v>
      </c>
      <c r="D6" s="1">
        <f t="shared" si="0"/>
        <v>-42623</v>
      </c>
      <c r="H6" s="1">
        <v>3500000</v>
      </c>
    </row>
    <row r="7" spans="1:10" x14ac:dyDescent="0.25">
      <c r="A7" t="s">
        <v>9</v>
      </c>
      <c r="B7" s="1">
        <v>150000</v>
      </c>
      <c r="C7" s="1">
        <v>241138</v>
      </c>
      <c r="D7" s="1">
        <f t="shared" si="0"/>
        <v>-91138</v>
      </c>
      <c r="E7" s="1">
        <f>SUM(B5:B7)</f>
        <v>450000</v>
      </c>
      <c r="F7" s="1">
        <f>SUM(C5:C7)</f>
        <v>542528</v>
      </c>
      <c r="G7" s="1">
        <f>E7-F7</f>
        <v>-92528</v>
      </c>
      <c r="H7" s="1">
        <v>3500000</v>
      </c>
    </row>
    <row r="8" spans="1:10" x14ac:dyDescent="0.25">
      <c r="A8" t="s">
        <v>10</v>
      </c>
      <c r="B8" s="1">
        <v>300000</v>
      </c>
      <c r="C8" s="1">
        <v>309446.81</v>
      </c>
      <c r="D8" s="1">
        <f t="shared" si="0"/>
        <v>-9446.8099999999977</v>
      </c>
      <c r="H8" s="1">
        <v>3500000</v>
      </c>
    </row>
    <row r="9" spans="1:10" x14ac:dyDescent="0.25">
      <c r="A9" t="s">
        <v>11</v>
      </c>
      <c r="B9" s="1">
        <v>350000</v>
      </c>
      <c r="C9" s="1">
        <v>394690.41</v>
      </c>
      <c r="D9" s="1">
        <f t="shared" si="0"/>
        <v>-44690.409999999974</v>
      </c>
      <c r="H9" s="1">
        <v>3500000</v>
      </c>
    </row>
    <row r="10" spans="1:10" x14ac:dyDescent="0.25">
      <c r="A10" t="s">
        <v>12</v>
      </c>
      <c r="B10" s="1">
        <v>425000</v>
      </c>
      <c r="D10" s="1">
        <f t="shared" si="0"/>
        <v>425000</v>
      </c>
      <c r="E10" s="1">
        <f>SUM(D8:D10)</f>
        <v>370862.78</v>
      </c>
      <c r="F10" s="1">
        <f>SUM(C8:C10)</f>
        <v>704137.22</v>
      </c>
      <c r="G10" s="1">
        <f>E10-F10</f>
        <v>-333274.43999999994</v>
      </c>
      <c r="H10" s="1">
        <v>3500000</v>
      </c>
    </row>
    <row r="11" spans="1:10" x14ac:dyDescent="0.25">
      <c r="A11" t="s">
        <v>13</v>
      </c>
      <c r="B11" s="1">
        <v>425000</v>
      </c>
      <c r="D11" s="1">
        <f t="shared" si="0"/>
        <v>425000</v>
      </c>
      <c r="H11" s="1">
        <v>3500000</v>
      </c>
    </row>
    <row r="12" spans="1:10" x14ac:dyDescent="0.25">
      <c r="A12" t="s">
        <v>14</v>
      </c>
      <c r="B12" s="1">
        <v>425000</v>
      </c>
      <c r="D12" s="1">
        <f t="shared" si="0"/>
        <v>425000</v>
      </c>
      <c r="H12" s="1">
        <v>3500000</v>
      </c>
    </row>
    <row r="13" spans="1:10" x14ac:dyDescent="0.25">
      <c r="A13" t="s">
        <v>15</v>
      </c>
      <c r="B13" s="1">
        <v>425000</v>
      </c>
      <c r="D13" s="1">
        <f t="shared" si="0"/>
        <v>425000</v>
      </c>
      <c r="E13" s="1">
        <f>SUM(D11:D13)</f>
        <v>1275000</v>
      </c>
      <c r="F13" s="1">
        <f>SUM(C11:C13)</f>
        <v>0</v>
      </c>
      <c r="G13" s="1">
        <f>E13-F13</f>
        <v>1275000</v>
      </c>
      <c r="H13" s="1">
        <v>3500000</v>
      </c>
      <c r="I13" s="2">
        <f>C16</f>
        <v>1648614.22</v>
      </c>
      <c r="J13" s="2">
        <f>H13-I13</f>
        <v>1851385.78</v>
      </c>
    </row>
    <row r="16" spans="1:10" x14ac:dyDescent="0.25">
      <c r="C16" s="1">
        <f>SUM(C2:C13)</f>
        <v>1648614.22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Camp, Justin Aaron</dc:creator>
  <cp:lastModifiedBy>Camp, Justin Aaron</cp:lastModifiedBy>
  <dcterms:created xsi:type="dcterms:W3CDTF">2026-08-15T15:09:34Z</dcterms:created>
  <dcterms:modified xsi:type="dcterms:W3CDTF">2026-10-31T18:44:17Z</dcterms:modified>
</cp:coreProperties>
</file>